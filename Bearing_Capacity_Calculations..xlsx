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efdfd5b1fd10c81/Desktop/Bearing Capacity Project/Excel/"/>
    </mc:Choice>
  </mc:AlternateContent>
  <xr:revisionPtr revIDLastSave="1" documentId="8_{3B2C8393-C0B0-4336-B6D5-7CC999012176}" xr6:coauthVersionLast="47" xr6:coauthVersionMax="47" xr10:uidLastSave="{85C75DEE-E4DE-49FF-BBEC-D7115704DC6D}"/>
  <bookViews>
    <workbookView xWindow="-108" yWindow="-108" windowWidth="23256" windowHeight="12456" xr2:uid="{1B7FB08F-CB1E-4C66-BD4A-154C6F9B1133}"/>
  </bookViews>
  <sheets>
    <sheet name="Bearing Capacity" sheetId="1" r:id="rId1"/>
    <sheet name="Effect of Width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" i="2" l="1"/>
  <c r="C5" i="2"/>
  <c r="C4" i="2"/>
  <c r="C3" i="2"/>
  <c r="C2" i="2"/>
  <c r="J5" i="1"/>
  <c r="E6" i="2"/>
  <c r="E5" i="2"/>
  <c r="E4" i="2"/>
  <c r="E3" i="2"/>
  <c r="D6" i="2"/>
  <c r="D5" i="2"/>
  <c r="D4" i="2"/>
  <c r="D3" i="2"/>
  <c r="E2" i="2"/>
  <c r="D2" i="2"/>
  <c r="B6" i="2"/>
  <c r="B5" i="2"/>
  <c r="B4" i="2"/>
  <c r="B3" i="2"/>
  <c r="B2" i="2"/>
  <c r="I5" i="1"/>
  <c r="K7" i="1"/>
  <c r="K6" i="1"/>
  <c r="K4" i="1"/>
  <c r="J7" i="1"/>
  <c r="J6" i="1"/>
  <c r="J4" i="1"/>
  <c r="G5" i="1"/>
  <c r="H5" i="1"/>
  <c r="I4" i="1"/>
  <c r="G4" i="1"/>
  <c r="H4" i="1"/>
  <c r="K5" i="1" l="1"/>
</calcChain>
</file>

<file path=xl/sharedStrings.xml><?xml version="1.0" encoding="utf-8"?>
<sst xmlns="http://schemas.openxmlformats.org/spreadsheetml/2006/main" count="21" uniqueCount="17">
  <si>
    <t>Bearing Capacity Analysis of Shallow Foundation</t>
  </si>
  <si>
    <t>Soil</t>
  </si>
  <si>
    <t>Cohesion, c (kPa)</t>
  </si>
  <si>
    <t>Friction Angle, φ (°)</t>
  </si>
  <si>
    <t>Unit Weight, γ (kN/m³)</t>
  </si>
  <si>
    <t>Foundation Width, B (m)</t>
  </si>
  <si>
    <t>Foundation Depth, Df (m)</t>
  </si>
  <si>
    <t>Nc</t>
  </si>
  <si>
    <t>Ultimate Bearing Capacity, qu (kPa)</t>
  </si>
  <si>
    <t>Safe Bearing Capacity, qsafe (kPa)</t>
  </si>
  <si>
    <t>Loose Sand</t>
  </si>
  <si>
    <t>Medium Dense Sand</t>
  </si>
  <si>
    <t>Soft Clay</t>
  </si>
  <si>
    <t>Medium Clay</t>
  </si>
  <si>
    <t>Ny</t>
  </si>
  <si>
    <t xml:space="preserve">Nq          </t>
  </si>
  <si>
    <t>Foundation Width B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</si>
</sst>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1" xfId="0" applyBorder="1"/>
    <xf numFmtId="0" fontId="1" fillId="0" borderId="1" xfId="0" applyFont="1" applyBorder="1" applyAlignment="1">
      <alignment vertical="center" wrapText="1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Effect of Foundation Width on Safe Bearing Capacity</a:t>
            </a:r>
            <a:r>
              <a:rPr lang="en-IN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'Effect of Width'!$B$1</c:f>
              <c:strCache>
                <c:ptCount val="1"/>
                <c:pt idx="0">
                  <c:v>Loose Sand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'Effect of Width'!$A$2:$A$6</c:f>
              <c:numCache>
                <c:formatCode>General</c:formatCode>
                <c:ptCount val="5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2.5</c:v>
                </c:pt>
                <c:pt idx="4">
                  <c:v>3</c:v>
                </c:pt>
              </c:numCache>
            </c:numRef>
          </c:xVal>
          <c:yVal>
            <c:numRef>
              <c:f>'Effect of Width'!$B$2:$B$6</c:f>
              <c:numCache>
                <c:formatCode>General</c:formatCode>
                <c:ptCount val="5"/>
                <c:pt idx="0">
                  <c:v>157.87928188939171</c:v>
                </c:pt>
                <c:pt idx="1">
                  <c:v>187.74926358419779</c:v>
                </c:pt>
                <c:pt idx="2">
                  <c:v>217.61924527900388</c:v>
                </c:pt>
                <c:pt idx="3">
                  <c:v>247.48922697380991</c:v>
                </c:pt>
                <c:pt idx="4">
                  <c:v>277.35920866861602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12B-458A-B37F-82FD0B1DDC4F}"/>
            </c:ext>
          </c:extLst>
        </c:ser>
        <c:ser>
          <c:idx val="1"/>
          <c:order val="1"/>
          <c:tx>
            <c:strRef>
              <c:f>'Effect of Width'!$C$1</c:f>
              <c:strCache>
                <c:ptCount val="1"/>
                <c:pt idx="0">
                  <c:v>Medium Dense Sand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'Effect of Width'!$A$2:$A$6</c:f>
              <c:numCache>
                <c:formatCode>General</c:formatCode>
                <c:ptCount val="5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2.5</c:v>
                </c:pt>
                <c:pt idx="4">
                  <c:v>3</c:v>
                </c:pt>
              </c:numCache>
            </c:numRef>
          </c:xVal>
          <c:yVal>
            <c:numRef>
              <c:f>'Effect of Width'!$C$2:$C$6</c:f>
              <c:numCache>
                <c:formatCode>General</c:formatCode>
                <c:ptCount val="5"/>
                <c:pt idx="0">
                  <c:v>324.75934861402635</c:v>
                </c:pt>
                <c:pt idx="1">
                  <c:v>392.8000970287062</c:v>
                </c:pt>
                <c:pt idx="2">
                  <c:v>460.84084544338594</c:v>
                </c:pt>
                <c:pt idx="3">
                  <c:v>528.88159385806591</c:v>
                </c:pt>
                <c:pt idx="4">
                  <c:v>596.9223422727456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12B-458A-B37F-82FD0B1DDC4F}"/>
            </c:ext>
          </c:extLst>
        </c:ser>
        <c:ser>
          <c:idx val="2"/>
          <c:order val="2"/>
          <c:tx>
            <c:strRef>
              <c:f>'Effect of Width'!$D$1</c:f>
              <c:strCache>
                <c:ptCount val="1"/>
                <c:pt idx="0">
                  <c:v>Soft Clay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'Effect of Width'!$A$2:$A$6</c:f>
              <c:numCache>
                <c:formatCode>General</c:formatCode>
                <c:ptCount val="5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2.5</c:v>
                </c:pt>
                <c:pt idx="4">
                  <c:v>3</c:v>
                </c:pt>
              </c:numCache>
            </c:numRef>
          </c:xVal>
          <c:yVal>
            <c:numRef>
              <c:f>'Effect of Width'!$D$2:$D$6</c:f>
              <c:numCache>
                <c:formatCode>General</c:formatCode>
                <c:ptCount val="5"/>
                <c:pt idx="0">
                  <c:v>43.666666666666664</c:v>
                </c:pt>
                <c:pt idx="1">
                  <c:v>43.666666666666664</c:v>
                </c:pt>
                <c:pt idx="2">
                  <c:v>43.666666666666664</c:v>
                </c:pt>
                <c:pt idx="3">
                  <c:v>43.666666666666664</c:v>
                </c:pt>
                <c:pt idx="4">
                  <c:v>43.666666666666664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12B-458A-B37F-82FD0B1DDC4F}"/>
            </c:ext>
          </c:extLst>
        </c:ser>
        <c:ser>
          <c:idx val="3"/>
          <c:order val="3"/>
          <c:tx>
            <c:strRef>
              <c:f>'Effect of Width'!$E$1</c:f>
              <c:strCache>
                <c:ptCount val="1"/>
                <c:pt idx="0">
                  <c:v>Medium Clay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'Effect of Width'!$A$2:$A$6</c:f>
              <c:numCache>
                <c:formatCode>General</c:formatCode>
                <c:ptCount val="5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2.5</c:v>
                </c:pt>
                <c:pt idx="4">
                  <c:v>3</c:v>
                </c:pt>
              </c:numCache>
            </c:numRef>
          </c:xVal>
          <c:yVal>
            <c:numRef>
              <c:f>'Effect of Width'!$E$2:$E$6</c:f>
              <c:numCache>
                <c:formatCode>General</c:formatCode>
                <c:ptCount val="5"/>
                <c:pt idx="0">
                  <c:v>63</c:v>
                </c:pt>
                <c:pt idx="1">
                  <c:v>63</c:v>
                </c:pt>
                <c:pt idx="2">
                  <c:v>63</c:v>
                </c:pt>
                <c:pt idx="3">
                  <c:v>63</c:v>
                </c:pt>
                <c:pt idx="4">
                  <c:v>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12B-458A-B37F-82FD0B1DDC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1953072"/>
        <c:axId val="683780752"/>
      </c:scatterChart>
      <c:valAx>
        <c:axId val="691953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Foundation Width, B (m)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780752"/>
        <c:crosses val="autoZero"/>
        <c:crossBetween val="midCat"/>
      </c:valAx>
      <c:valAx>
        <c:axId val="683780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Safe Bearing Capacity, qsafe (kPa)</a:t>
                </a:r>
                <a:endParaRPr lang="en-IN"/>
              </a:p>
            </c:rich>
          </c:tx>
          <c:layout>
            <c:manualLayout>
              <c:xMode val="edge"/>
              <c:yMode val="edge"/>
              <c:x val="2.7777777777777776E-2"/>
              <c:y val="0.1582407407407407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19530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335280</xdr:colOff>
      <xdr:row>2</xdr:row>
      <xdr:rowOff>15240</xdr:rowOff>
    </xdr:from>
    <xdr:to>
      <xdr:col>15</xdr:col>
      <xdr:colOff>30480</xdr:colOff>
      <xdr:row>19</xdr:row>
      <xdr:rowOff>26670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18C58A8-D2EF-AA44-C0CD-510B1CFA59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CB9F6-5D4C-48BE-9FD4-78E6D8E44339}">
  <dimension ref="A1:K7"/>
  <sheetViews>
    <sheetView tabSelected="1" workbookViewId="0">
      <selection activeCell="I15" sqref="I15"/>
    </sheetView>
  </sheetViews>
  <sheetFormatPr defaultRowHeight="14.4" x14ac:dyDescent="0.3"/>
  <cols>
    <col min="1" max="1" width="10.88671875" customWidth="1"/>
    <col min="2" max="2" width="15.5546875" customWidth="1"/>
    <col min="3" max="3" width="16.5546875" customWidth="1"/>
    <col min="4" max="4" width="19.44140625" customWidth="1"/>
    <col min="7" max="7" width="11.33203125" customWidth="1"/>
    <col min="8" max="8" width="12.6640625" customWidth="1"/>
    <col min="9" max="9" width="12.109375" customWidth="1"/>
    <col min="10" max="10" width="11.77734375" customWidth="1"/>
    <col min="11" max="11" width="12.33203125" customWidth="1"/>
  </cols>
  <sheetData>
    <row r="1" spans="1:11" x14ac:dyDescent="0.3">
      <c r="A1" t="s">
        <v>0</v>
      </c>
    </row>
    <row r="2" spans="1:11" ht="12" customHeight="1" x14ac:dyDescent="0.3"/>
    <row r="3" spans="1:11" ht="77.400000000000006" customHeight="1" x14ac:dyDescent="0.3">
      <c r="A3" s="3" t="s">
        <v>1</v>
      </c>
      <c r="B3" s="4" t="s">
        <v>2</v>
      </c>
      <c r="C3" s="4" t="s">
        <v>3</v>
      </c>
      <c r="D3" s="4" t="s">
        <v>4</v>
      </c>
      <c r="E3" s="3" t="s">
        <v>5</v>
      </c>
      <c r="F3" s="3" t="s">
        <v>6</v>
      </c>
      <c r="G3" s="4" t="s">
        <v>7</v>
      </c>
      <c r="H3" s="4" t="s">
        <v>15</v>
      </c>
      <c r="I3" s="3" t="s">
        <v>14</v>
      </c>
      <c r="J3" s="3" t="s">
        <v>8</v>
      </c>
      <c r="K3" s="3" t="s">
        <v>9</v>
      </c>
    </row>
    <row r="4" spans="1:11" x14ac:dyDescent="0.3">
      <c r="A4" s="1" t="s">
        <v>10</v>
      </c>
      <c r="B4" s="2">
        <v>0</v>
      </c>
      <c r="C4" s="2">
        <v>30</v>
      </c>
      <c r="D4" s="2">
        <v>16</v>
      </c>
      <c r="E4" s="1">
        <v>2</v>
      </c>
      <c r="F4" s="2">
        <v>1</v>
      </c>
      <c r="G4" s="2">
        <f>(H4-1)/TAN(RADIANS(C4))</f>
        <v>30.139627791519086</v>
      </c>
      <c r="H4" s="2">
        <f>EXP(PI()*TAN(RADIANS(C4)))*TAN(RADIANS(45+C4/2))^2</f>
        <v>18.401122218708668</v>
      </c>
      <c r="I4">
        <f>2*(H4+1)*TAN(RADIANS(C4))</f>
        <v>22.402486271104557</v>
      </c>
      <c r="J4" s="2">
        <f>B4*G4+D4*F4*H4+0.5*D4*E4*I4</f>
        <v>652.85773583701166</v>
      </c>
      <c r="K4" s="2">
        <f>J4/3</f>
        <v>217.61924527900388</v>
      </c>
    </row>
    <row r="5" spans="1:11" ht="28.8" x14ac:dyDescent="0.3">
      <c r="A5" s="1" t="s">
        <v>11</v>
      </c>
      <c r="B5" s="2">
        <v>0</v>
      </c>
      <c r="C5" s="2">
        <v>35</v>
      </c>
      <c r="D5" s="2">
        <v>17</v>
      </c>
      <c r="E5" s="2">
        <v>2</v>
      </c>
      <c r="F5" s="2">
        <v>1</v>
      </c>
      <c r="G5">
        <f>(H5-1)/TAN(RADIANS(C5))</f>
        <v>46.123598689020689</v>
      </c>
      <c r="H5" s="2">
        <f>EXP(PI()*TAN(RADIANS(C5)))*TAN(RADIANS(45+C5/2))^2</f>
        <v>33.296091491411772</v>
      </c>
      <c r="I5" s="2">
        <f>2*(H5+1)*TAN(RADIANS(C5))</f>
        <v>48.028763586832817</v>
      </c>
      <c r="J5" s="2">
        <f>B5*G5+D5*F5*H5+0.5*D5*E5*I5</f>
        <v>1382.5225363301579</v>
      </c>
      <c r="K5" s="2">
        <f>J5/3</f>
        <v>460.84084544338594</v>
      </c>
    </row>
    <row r="6" spans="1:11" x14ac:dyDescent="0.3">
      <c r="A6" s="1" t="s">
        <v>12</v>
      </c>
      <c r="B6" s="2">
        <v>20</v>
      </c>
      <c r="C6" s="2">
        <v>0</v>
      </c>
      <c r="D6" s="2">
        <v>17</v>
      </c>
      <c r="E6" s="2">
        <v>2</v>
      </c>
      <c r="F6" s="2">
        <v>1</v>
      </c>
      <c r="G6" s="2">
        <v>5.7</v>
      </c>
      <c r="H6" s="2">
        <v>1</v>
      </c>
      <c r="I6" s="2">
        <v>0</v>
      </c>
      <c r="J6" s="2">
        <f>B6*G6+D6*F6*H6+0.5*D6*E6*I6</f>
        <v>131</v>
      </c>
      <c r="K6" s="2">
        <f>J6/3</f>
        <v>43.666666666666664</v>
      </c>
    </row>
    <row r="7" spans="1:11" ht="28.8" x14ac:dyDescent="0.3">
      <c r="A7" s="1" t="s">
        <v>13</v>
      </c>
      <c r="B7" s="2">
        <v>30</v>
      </c>
      <c r="C7" s="2">
        <v>0</v>
      </c>
      <c r="D7" s="2">
        <v>18</v>
      </c>
      <c r="E7" s="2">
        <v>2</v>
      </c>
      <c r="F7" s="2">
        <v>1</v>
      </c>
      <c r="G7" s="2">
        <v>5.7</v>
      </c>
      <c r="H7" s="2">
        <v>1</v>
      </c>
      <c r="I7" s="2">
        <v>0</v>
      </c>
      <c r="J7" s="2">
        <f>B7*G7+D7*F7*H7+0.5*D7*E7*I7</f>
        <v>189</v>
      </c>
      <c r="K7" s="2">
        <f>J7/3</f>
        <v>63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86F53-563F-47F8-907E-CB6800EBCE20}">
  <dimension ref="A1:E6"/>
  <sheetViews>
    <sheetView workbookViewId="0">
      <selection activeCell="Q9" sqref="Q9"/>
    </sheetView>
  </sheetViews>
  <sheetFormatPr defaultRowHeight="14.4" x14ac:dyDescent="0.3"/>
  <cols>
    <col min="5" max="5" width="11.33203125" customWidth="1"/>
  </cols>
  <sheetData>
    <row r="1" spans="1:5" ht="43.8" customHeight="1" x14ac:dyDescent="0.3">
      <c r="A1" s="1" t="s">
        <v>16</v>
      </c>
      <c r="B1" s="1" t="s">
        <v>10</v>
      </c>
      <c r="C1" s="1" t="s">
        <v>11</v>
      </c>
      <c r="D1" s="2" t="s">
        <v>12</v>
      </c>
      <c r="E1" s="2" t="s">
        <v>13</v>
      </c>
    </row>
    <row r="2" spans="1:5" x14ac:dyDescent="0.3">
      <c r="A2" s="2">
        <v>1</v>
      </c>
      <c r="B2" s="2">
        <f>(0*'Bearing Capacity'!G4+'Bearing Capacity'!D4*'Bearing Capacity'!F4*'Bearing Capacity'!H4+0.5*'Bearing Capacity'!D4*A2*'Bearing Capacity'!I4)/3</f>
        <v>157.87928188939171</v>
      </c>
      <c r="C2" s="2">
        <f>(0*'Bearing Capacity'!G5+'Bearing Capacity'!D5*'Bearing Capacity'!F5*'Bearing Capacity'!H5+0.5*'Bearing Capacity'!D5*A2*'Bearing Capacity'!I5)/3</f>
        <v>324.75934861402635</v>
      </c>
      <c r="D2" s="2">
        <f>(20*'Bearing Capacity'!G6+'Bearing Capacity'!D6*'Bearing Capacity'!F6*'Bearing Capacity'!H6+0.5*'Bearing Capacity'!D6*A2*'Bearing Capacity'!I6)/3</f>
        <v>43.666666666666664</v>
      </c>
      <c r="E2" s="2">
        <f>(30*'Bearing Capacity'!G7+'Bearing Capacity'!D7*'Bearing Capacity'!F7*'Bearing Capacity'!H7+0.5*'Bearing Capacity'!D7*A2*'Bearing Capacity'!I7)/3</f>
        <v>63</v>
      </c>
    </row>
    <row r="3" spans="1:5" x14ac:dyDescent="0.3">
      <c r="A3" s="2">
        <v>1.5</v>
      </c>
      <c r="B3" s="2">
        <f>(0*'Bearing Capacity'!G4+'Bearing Capacity'!D4*'Bearing Capacity'!F4*'Bearing Capacity'!H4+0.5*'Bearing Capacity'!D4*A3*'Bearing Capacity'!I4)/3</f>
        <v>187.74926358419779</v>
      </c>
      <c r="C3" s="2">
        <f>(0*'Bearing Capacity'!G5+'Bearing Capacity'!D5*'Bearing Capacity'!F5*'Bearing Capacity'!H5+0.5*'Bearing Capacity'!D5*A3*'Bearing Capacity'!I5)/3</f>
        <v>392.8000970287062</v>
      </c>
      <c r="D3" s="2">
        <f>(20*'Bearing Capacity'!G6+'Bearing Capacity'!D6*'Bearing Capacity'!F6*'Bearing Capacity'!H6+0.5*'Bearing Capacity'!D6*A2*'Bearing Capacity'!I6)/3</f>
        <v>43.666666666666664</v>
      </c>
      <c r="E3" s="2">
        <f>(30*'Bearing Capacity'!G7+'Bearing Capacity'!D7*'Bearing Capacity'!F7*'Bearing Capacity'!H7+0.5*'Bearing Capacity'!D7*A2*'Bearing Capacity'!I7)/3</f>
        <v>63</v>
      </c>
    </row>
    <row r="4" spans="1:5" x14ac:dyDescent="0.3">
      <c r="A4" s="2">
        <v>2</v>
      </c>
      <c r="B4" s="2">
        <f>(0*'Bearing Capacity'!G4+'Bearing Capacity'!D4*'Bearing Capacity'!F4*'Bearing Capacity'!H4+0.5*'Bearing Capacity'!D4*A4*'Bearing Capacity'!I4)/3</f>
        <v>217.61924527900388</v>
      </c>
      <c r="C4" s="2">
        <f>(0*'Bearing Capacity'!G5+'Bearing Capacity'!D5*'Bearing Capacity'!F5*'Bearing Capacity'!H5+0.5*'Bearing Capacity'!D5*A4*'Bearing Capacity'!I5)/3</f>
        <v>460.84084544338594</v>
      </c>
      <c r="D4" s="2">
        <f>(20*'Bearing Capacity'!G6+'Bearing Capacity'!D6*'Bearing Capacity'!F6*'Bearing Capacity'!H6+0.5*'Bearing Capacity'!D6*A2*'Bearing Capacity'!I6)/3</f>
        <v>43.666666666666664</v>
      </c>
      <c r="E4" s="2">
        <f>(30*'Bearing Capacity'!G7+'Bearing Capacity'!D7*'Bearing Capacity'!F7*'Bearing Capacity'!H7+0.5*'Bearing Capacity'!D7*A2*'Bearing Capacity'!I7)/3</f>
        <v>63</v>
      </c>
    </row>
    <row r="5" spans="1:5" x14ac:dyDescent="0.3">
      <c r="A5" s="2">
        <v>2.5</v>
      </c>
      <c r="B5" s="2">
        <f>(0*'Bearing Capacity'!G4+'Bearing Capacity'!D4*'Bearing Capacity'!F4*'Bearing Capacity'!H4+0.5*'Bearing Capacity'!D4*A5*'Bearing Capacity'!I4)/3</f>
        <v>247.48922697380991</v>
      </c>
      <c r="C5" s="2">
        <f>(0*'Bearing Capacity'!G5+'Bearing Capacity'!D5*'Bearing Capacity'!F5*'Bearing Capacity'!H5+0.5*'Bearing Capacity'!D5*A5*'Bearing Capacity'!I5)/3</f>
        <v>528.88159385806591</v>
      </c>
      <c r="D5" s="2">
        <f>(20*'Bearing Capacity'!G6+'Bearing Capacity'!D6*'Bearing Capacity'!F6*'Bearing Capacity'!H6+0.5*'Bearing Capacity'!D6*A2*'Bearing Capacity'!I6)/3</f>
        <v>43.666666666666664</v>
      </c>
      <c r="E5" s="2">
        <f>(30*'Bearing Capacity'!G7+'Bearing Capacity'!D7*'Bearing Capacity'!F7*'Bearing Capacity'!H7+0.5*'Bearing Capacity'!D7*A2*'Bearing Capacity'!I7)/3</f>
        <v>63</v>
      </c>
    </row>
    <row r="6" spans="1:5" x14ac:dyDescent="0.3">
      <c r="A6" s="2">
        <v>3</v>
      </c>
      <c r="B6" s="2">
        <f>(0*'Bearing Capacity'!G4+'Bearing Capacity'!D4*'Bearing Capacity'!F4*'Bearing Capacity'!H4+0.5*'Bearing Capacity'!D4*A6*'Bearing Capacity'!I4)/3</f>
        <v>277.35920866861602</v>
      </c>
      <c r="C6" s="2">
        <f>(0*'Bearing Capacity'!G5+'Bearing Capacity'!D5*'Bearing Capacity'!F5*'Bearing Capacity'!H5+0.5*'Bearing Capacity'!D5*A6*'Bearing Capacity'!I5)/3</f>
        <v>596.9223422727456</v>
      </c>
      <c r="D6" s="2">
        <f>(20*'Bearing Capacity'!G6+'Bearing Capacity'!D6*'Bearing Capacity'!F6*'Bearing Capacity'!H6+0.5*'Bearing Capacity'!D6*A2*'Bearing Capacity'!I6)/3</f>
        <v>43.666666666666664</v>
      </c>
      <c r="E6" s="2">
        <f>(30*'Bearing Capacity'!G7+'Bearing Capacity'!D7*'Bearing Capacity'!F7*'Bearing Capacity'!H7+0.5*'Bearing Capacity'!D7*A2*'Bearing Capacity'!I7)/3</f>
        <v>63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Bearing Capacity</vt:lpstr>
      <vt:lpstr>Effect of Width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Abhisek Sahoo</dc:creator>
  <cp:lastModifiedBy>Abhisek Sahoo</cp:lastModifiedBy>
  <dcterms:created xsi:type="dcterms:W3CDTF">2026-09-04T17:02:23Z</dcterms:created>
  <dcterms:modified xsi:type="dcterms:W3CDTF">2026-09-05T06:04:41Z</dcterms:modified>
</cp:coreProperties>
</file>